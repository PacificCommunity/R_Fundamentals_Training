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elsiem\OneDrive - SPC\Documents\Kiribati\"/>
    </mc:Choice>
  </mc:AlternateContent>
  <xr:revisionPtr revIDLastSave="0" documentId="8_{25E62D2B-4FCE-4533-A66E-4695D9516813}" xr6:coauthVersionLast="47" xr6:coauthVersionMax="47" xr10:uidLastSave="{00000000-0000-0000-0000-000000000000}"/>
  <bookViews>
    <workbookView xWindow="-120" yWindow="-120" windowWidth="29040" windowHeight="15720" xr2:uid="{12A844B9-A980-4C47-8DBD-E1B7548206F5}"/>
  </bookViews>
  <sheets>
    <sheet name="Demographics" sheetId="7" r:id="rId1"/>
    <sheet name="Prevalence" sheetId="2" r:id="rId2"/>
    <sheet name="Education" sheetId="11" r:id="rId3"/>
    <sheet name="Labour forc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D20" i="6"/>
  <c r="B19" i="6"/>
  <c r="B17" i="6"/>
  <c r="B18" i="6"/>
  <c r="B16" i="6"/>
  <c r="B20" i="6" l="1"/>
  <c r="E25" i="7"/>
  <c r="E23" i="7"/>
  <c r="E19" i="7"/>
  <c r="D23" i="7"/>
  <c r="D35" i="7" s="1"/>
  <c r="D20" i="7"/>
  <c r="D32" i="7" s="1"/>
  <c r="C23" i="7"/>
  <c r="C35" i="7" s="1"/>
  <c r="H23" i="7"/>
  <c r="G25" i="7"/>
  <c r="F37" i="7" s="1"/>
  <c r="F23" i="7"/>
  <c r="E35" i="7" s="1"/>
  <c r="E22" i="7" l="1"/>
  <c r="H19" i="7"/>
  <c r="G23" i="7"/>
  <c r="F35" i="7" s="1"/>
  <c r="G18" i="7"/>
  <c r="F30" i="7" s="1"/>
  <c r="G21" i="7"/>
  <c r="F33" i="7" s="1"/>
  <c r="F19" i="7"/>
  <c r="E31" i="7" s="1"/>
  <c r="H21" i="7"/>
  <c r="G19" i="7"/>
  <c r="F31" i="7" s="1"/>
  <c r="H24" i="7"/>
  <c r="H22" i="7"/>
  <c r="H25" i="7"/>
  <c r="E21" i="7"/>
  <c r="H18" i="7"/>
  <c r="H20" i="7"/>
  <c r="F25" i="7"/>
  <c r="E37" i="7" s="1"/>
  <c r="D19" i="7"/>
  <c r="D31" i="7" s="1"/>
  <c r="J22" i="7"/>
  <c r="C22" i="7"/>
  <c r="C34" i="7" s="1"/>
  <c r="C20" i="7"/>
  <c r="C32" i="7" s="1"/>
  <c r="C21" i="7"/>
  <c r="C33" i="7" s="1"/>
  <c r="D18" i="7"/>
  <c r="D30" i="7" s="1"/>
  <c r="D24" i="7"/>
  <c r="D36" i="7" s="1"/>
  <c r="C18" i="7"/>
  <c r="C30" i="7" s="1"/>
  <c r="C25" i="7"/>
  <c r="C37" i="7" s="1"/>
  <c r="D21" i="7"/>
  <c r="D33" i="7" s="1"/>
  <c r="D22" i="7"/>
  <c r="D34" i="7" s="1"/>
  <c r="F20" i="7"/>
  <c r="E32" i="7" s="1"/>
  <c r="F22" i="7"/>
  <c r="E34" i="7" s="1"/>
  <c r="F24" i="7"/>
  <c r="E36" i="7" s="1"/>
  <c r="D25" i="7"/>
  <c r="D37" i="7" s="1"/>
  <c r="G20" i="7"/>
  <c r="F32" i="7" s="1"/>
  <c r="G22" i="7"/>
  <c r="F34" i="7" s="1"/>
  <c r="G24" i="7"/>
  <c r="F36" i="7" s="1"/>
  <c r="I21" i="7"/>
  <c r="I18" i="7"/>
  <c r="F18" i="7"/>
  <c r="E30" i="7" s="1"/>
  <c r="K18" i="7"/>
  <c r="C24" i="7"/>
  <c r="C36" i="7" s="1"/>
  <c r="F21" i="7"/>
  <c r="E33" i="7" s="1"/>
  <c r="E18" i="7"/>
  <c r="E24" i="7"/>
  <c r="C19" i="7"/>
  <c r="C31" i="7" s="1"/>
  <c r="K24" i="7"/>
  <c r="E20" i="7"/>
  <c r="J25" i="7" l="1"/>
  <c r="J19" i="7"/>
  <c r="J24" i="7"/>
  <c r="J20" i="7"/>
  <c r="J18" i="7"/>
  <c r="I25" i="7"/>
  <c r="I22" i="7"/>
  <c r="I23" i="7"/>
  <c r="J23" i="7"/>
  <c r="I20" i="7"/>
  <c r="J21" i="7"/>
  <c r="I24" i="7"/>
  <c r="K19" i="7"/>
  <c r="K21" i="7"/>
  <c r="K23" i="7"/>
  <c r="K25" i="7"/>
  <c r="K22" i="7"/>
  <c r="I19" i="7"/>
  <c r="K20" i="7"/>
</calcChain>
</file>

<file path=xl/sharedStrings.xml><?xml version="1.0" encoding="utf-8"?>
<sst xmlns="http://schemas.openxmlformats.org/spreadsheetml/2006/main" count="110" uniqueCount="43">
  <si>
    <t>Distribution of the population</t>
  </si>
  <si>
    <t>Number</t>
  </si>
  <si>
    <t>With disability</t>
  </si>
  <si>
    <t>Without disability</t>
  </si>
  <si>
    <t>Total population aged 5+</t>
  </si>
  <si>
    <t>Males</t>
  </si>
  <si>
    <t>Females</t>
  </si>
  <si>
    <t>Total</t>
  </si>
  <si>
    <t>5-17</t>
  </si>
  <si>
    <t>18-29</t>
  </si>
  <si>
    <t>30-39</t>
  </si>
  <si>
    <t>40-49</t>
  </si>
  <si>
    <t>50-59</t>
  </si>
  <si>
    <t>60-69</t>
  </si>
  <si>
    <t>70-79</t>
  </si>
  <si>
    <t>80+</t>
  </si>
  <si>
    <t>Proportion</t>
  </si>
  <si>
    <t>Prevalence of disability by age group</t>
  </si>
  <si>
    <t>Prevalence by age group</t>
  </si>
  <si>
    <t>Prevalence by type of disability, 5+ years</t>
  </si>
  <si>
    <t>walking</t>
  </si>
  <si>
    <t>Seeing</t>
  </si>
  <si>
    <t>Hearing</t>
  </si>
  <si>
    <t>remembering</t>
  </si>
  <si>
    <t>Selfcare</t>
  </si>
  <si>
    <t>Communication</t>
  </si>
  <si>
    <t>Male</t>
  </si>
  <si>
    <t>Female</t>
  </si>
  <si>
    <t>Highest school level attended, 25+ years</t>
  </si>
  <si>
    <t>other</t>
  </si>
  <si>
    <t>Post-secondary &amp; Tertiary</t>
  </si>
  <si>
    <t>Secondary school</t>
  </si>
  <si>
    <t>Primary school</t>
  </si>
  <si>
    <t>Labour force participation rate</t>
  </si>
  <si>
    <t>Without disabilities</t>
  </si>
  <si>
    <t>With disabilities</t>
  </si>
  <si>
    <t>People classified as in the Labour force, status of work</t>
  </si>
  <si>
    <t>In the labour force status</t>
  </si>
  <si>
    <t>Employees</t>
  </si>
  <si>
    <t>Own-account workers</t>
  </si>
  <si>
    <t>Others (contributing family workers)</t>
  </si>
  <si>
    <t>Employers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</si>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</sst>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" fontId="0" fillId="0" borderId="3" xfId="0" applyNumberFormat="1" applyBorder="1"/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/>
    <xf numFmtId="17" fontId="0" fillId="0" borderId="6" xfId="0" quotePrefix="1" applyNumberFormat="1" applyBorder="1"/>
    <xf numFmtId="1" fontId="0" fillId="0" borderId="10" xfId="0" applyNumberFormat="1" applyBorder="1"/>
    <xf numFmtId="1" fontId="0" fillId="0" borderId="4" xfId="0" applyNumberFormat="1" applyBorder="1"/>
    <xf numFmtId="1" fontId="0" fillId="0" borderId="11" xfId="0" applyNumberFormat="1" applyBorder="1"/>
    <xf numFmtId="1" fontId="0" fillId="0" borderId="5" xfId="0" applyNumberFormat="1" applyBorder="1"/>
    <xf numFmtId="0" fontId="0" fillId="0" borderId="12" xfId="0" applyBorder="1" applyAlignment="1">
      <alignment horizontal="center" vertical="center" wrapText="1"/>
    </xf>
    <xf numFmtId="17" fontId="0" fillId="0" borderId="12" xfId="0" quotePrefix="1" applyNumberFormat="1" applyBorder="1"/>
    <xf numFmtId="9" fontId="0" fillId="0" borderId="0" xfId="1" applyFont="1"/>
    <xf numFmtId="9" fontId="0" fillId="0" borderId="12" xfId="1" applyFont="1" applyBorder="1"/>
    <xf numFmtId="9" fontId="0" fillId="0" borderId="0" xfId="0" applyNumberFormat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9" fontId="0" fillId="0" borderId="12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ADDCE"/>
      <color rgb="FFAECF9D"/>
      <color rgb="FFFFEBAB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0920445289173E-2"/>
          <c:y val="4.3818477152656625E-2"/>
          <c:w val="0.90661643587654994"/>
          <c:h val="0.667859886352910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Demographics!$C$28:$C$29</c:f>
              <c:strCache>
                <c:ptCount val="2"/>
                <c:pt idx="0">
                  <c:v>With disability</c:v>
                </c:pt>
                <c:pt idx="1">
                  <c:v>Males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Demographics!$B$30:$B$37</c:f>
              <c:strCache>
                <c:ptCount val="8"/>
                <c:pt idx="0">
                  <c:v>5-17</c:v>
                </c:pt>
                <c:pt idx="1">
                  <c:v>18-29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80+</c:v>
                </c:pt>
              </c:strCache>
            </c:strRef>
          </c:cat>
          <c:val>
            <c:numRef>
              <c:f>Demographics!$C$30:$C$37</c:f>
              <c:numCache>
                <c:formatCode>0</c:formatCode>
                <c:ptCount val="8"/>
                <c:pt idx="0">
                  <c:v>-16.646801748112832</c:v>
                </c:pt>
                <c:pt idx="1">
                  <c:v>-10.448947159316647</c:v>
                </c:pt>
                <c:pt idx="2">
                  <c:v>-9.9721891140246317</c:v>
                </c:pt>
                <c:pt idx="3">
                  <c:v>-13.945172824791419</c:v>
                </c:pt>
                <c:pt idx="4">
                  <c:v>-19.507350019864919</c:v>
                </c:pt>
                <c:pt idx="5">
                  <c:v>-16.765991259435836</c:v>
                </c:pt>
                <c:pt idx="6">
                  <c:v>-9.7735399284862918</c:v>
                </c:pt>
                <c:pt idx="7">
                  <c:v>-2.9400079459674213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F-4237-A320-7EA9BBEBF2DA}"/>
            </c:ext>
          </c:extLst>
        </c:ser>
        <c:ser>
          <c:idx val="1"/>
          <c:order val="1"/>
          <c:tx>
            <c:strRef>
              <c:f>Demographics!$D$28:$D$29</c:f>
              <c:strCache>
                <c:ptCount val="2"/>
                <c:pt idx="0">
                  <c:v>With disability</c:v>
                </c:pt>
                <c:pt idx="1">
                  <c:v>Females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Demographics!$B$30:$B$37</c:f>
              <c:strCache>
                <c:ptCount val="8"/>
                <c:pt idx="0">
                  <c:v>5-17</c:v>
                </c:pt>
                <c:pt idx="1">
                  <c:v>18-29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80+</c:v>
                </c:pt>
              </c:strCache>
            </c:strRef>
          </c:cat>
          <c:val>
            <c:numRef>
              <c:f>Demographics!$D$30:$D$37</c:f>
              <c:numCache>
                <c:formatCode>0</c:formatCode>
                <c:ptCount val="8"/>
                <c:pt idx="0">
                  <c:v>11.111111111111111</c:v>
                </c:pt>
                <c:pt idx="1">
                  <c:v>7.6594345825115058</c:v>
                </c:pt>
                <c:pt idx="2">
                  <c:v>7.1334648257725171</c:v>
                </c:pt>
                <c:pt idx="3">
                  <c:v>10.519395134779751</c:v>
                </c:pt>
                <c:pt idx="4">
                  <c:v>18.573307034845495</c:v>
                </c:pt>
                <c:pt idx="5">
                  <c:v>19.460880999342539</c:v>
                </c:pt>
                <c:pt idx="6">
                  <c:v>18.902038132807363</c:v>
                </c:pt>
                <c:pt idx="7">
                  <c:v>6.6403681788297169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F-4237-A320-7EA9BBEBF2DA}"/>
            </c:ext>
          </c:extLst>
        </c:ser>
        <c:ser>
          <c:idx val="2"/>
          <c:order val="2"/>
          <c:tx>
            <c:strRef>
              <c:f>Demographics!$E$28:$E$29</c:f>
              <c:strCache>
                <c:ptCount val="2"/>
                <c:pt idx="0">
                  <c:v>Without disability</c:v>
                </c:pt>
                <c:pt idx="1">
                  <c:v>Males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Demographics!$B$30:$B$37</c:f>
              <c:strCache>
                <c:ptCount val="8"/>
                <c:pt idx="0">
                  <c:v>5-17</c:v>
                </c:pt>
                <c:pt idx="1">
                  <c:v>18-29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80+</c:v>
                </c:pt>
              </c:strCache>
            </c:strRef>
          </c:cat>
          <c:val>
            <c:numRef>
              <c:f>Demographics!$E$30:$E$37</c:f>
              <c:numCache>
                <c:formatCode>0</c:formatCode>
                <c:ptCount val="8"/>
                <c:pt idx="0">
                  <c:v>-34.954446854663772</c:v>
                </c:pt>
                <c:pt idx="1">
                  <c:v>-25.281995661605205</c:v>
                </c:pt>
                <c:pt idx="2">
                  <c:v>-16.783080260303688</c:v>
                </c:pt>
                <c:pt idx="3">
                  <c:v>-10.323210412147505</c:v>
                </c:pt>
                <c:pt idx="4">
                  <c:v>-7.780911062906724</c:v>
                </c:pt>
                <c:pt idx="5">
                  <c:v>-3.7180043383947941</c:v>
                </c:pt>
                <c:pt idx="6">
                  <c:v>-1.0498915401301518</c:v>
                </c:pt>
                <c:pt idx="7">
                  <c:v>-0.10845986984815618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3F-4237-A320-7EA9BBEBF2DA}"/>
            </c:ext>
          </c:extLst>
        </c:ser>
        <c:ser>
          <c:idx val="3"/>
          <c:order val="3"/>
          <c:tx>
            <c:strRef>
              <c:f>Demographics!$F$28:$F$29</c:f>
              <c:strCache>
                <c:ptCount val="2"/>
                <c:pt idx="0">
                  <c:v>Without disability</c:v>
                </c:pt>
                <c:pt idx="1">
                  <c:v>Females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Demographics!$B$30:$B$37</c:f>
              <c:strCache>
                <c:ptCount val="8"/>
                <c:pt idx="0">
                  <c:v>5-17</c:v>
                </c:pt>
                <c:pt idx="1">
                  <c:v>18-29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80+</c:v>
                </c:pt>
              </c:strCache>
            </c:strRef>
          </c:cat>
          <c:val>
            <c:numRef>
              <c:f>Demographics!$F$30:$F$37</c:f>
              <c:numCache>
                <c:formatCode>0</c:formatCode>
                <c:ptCount val="8"/>
                <c:pt idx="0">
                  <c:v>31.664818959566592</c:v>
                </c:pt>
                <c:pt idx="1">
                  <c:v>24.383458489342566</c:v>
                </c:pt>
                <c:pt idx="2">
                  <c:v>17.53090551592863</c:v>
                </c:pt>
                <c:pt idx="3">
                  <c:v>10.904260882297571</c:v>
                </c:pt>
                <c:pt idx="4">
                  <c:v>9.1011776518083121</c:v>
                </c:pt>
                <c:pt idx="5">
                  <c:v>4.6855063066078184</c:v>
                </c:pt>
                <c:pt idx="6">
                  <c:v>1.4767711841362143</c:v>
                </c:pt>
                <c:pt idx="7">
                  <c:v>0.25310101031229737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F-4237-A320-7EA9BBEB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2"/>
        <c:axId val="418411136"/>
        <c:axId val="342112112"/>
      </c:barChart>
      <c:catAx>
        <c:axId val="41841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12112"/>
        <c:crosses val="autoZero"/>
        <c:auto val="1"/>
        <c:lblAlgn val="ctr"/>
        <c:lblOffset val="100"/>
        <c:noMultiLvlLbl val="0"/>
      </c:catAx>
      <c:valAx>
        <c:axId val="342112112"/>
        <c:scaling>
          <c:orientation val="minMax"/>
        </c:scaling>
        <c:delete val="0"/>
        <c:axPos val="b"/>
        <c:numFmt formatCode="0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1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9619920354783238"/>
          <c:y val="0.84702619669665857"/>
          <c:w val="0.60760159290433524"/>
          <c:h val="5.2817284097269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Prevalence!$B$5</c:f>
              <c:strCache>
                <c:ptCount val="1"/>
                <c:pt idx="0">
                  <c:v>With disability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Prevalence!$A$6:$A$13</c:f>
              <c:strCache>
                <c:ptCount val="8"/>
                <c:pt idx="0">
                  <c:v>5-17</c:v>
                </c:pt>
                <c:pt idx="1">
                  <c:v>18-29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80+</c:v>
                </c:pt>
              </c:strCache>
            </c:strRef>
          </c:cat>
          <c:val>
            <c:numRef>
              <c:f>Prevalence!$B$6:$B$13</c:f>
              <c:numCache>
                <c:formatCode>0%</c:formatCode>
                <c:ptCount val="8"/>
                <c:pt idx="0">
                  <c:v>2.3649598550407699E-2</c:v>
                </c:pt>
                <c:pt idx="1">
                  <c:v>2.0833333333333329E-2</c:v>
                </c:pt>
                <c:pt idx="2">
                  <c:v>2.8216568190039794E-2</c:v>
                </c:pt>
                <c:pt idx="3">
                  <c:v>6.3046133608944843E-2</c:v>
                </c:pt>
                <c:pt idx="4">
                  <c:v>0.11741160773849232</c:v>
                </c:pt>
                <c:pt idx="5">
                  <c:v>0.20410628019323671</c:v>
                </c:pt>
                <c:pt idx="6">
                  <c:v>0.40825459970164096</c:v>
                </c:pt>
                <c:pt idx="7">
                  <c:v>0.6174496644295302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1-426F-87BB-67DEC5E77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413552"/>
        <c:axId val="865414032"/>
      </c:barChart>
      <c:catAx>
        <c:axId val="86541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group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14032"/>
        <c:crosses val="autoZero"/>
        <c:auto val="1"/>
        <c:lblAlgn val="ctr"/>
        <c:lblOffset val="100"/>
        <c:noMultiLvlLbl val="0"/>
      </c:catAx>
      <c:valAx>
        <c:axId val="865414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Percentage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86541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Education!$B$3</c:f>
              <c:strCache>
                <c:ptCount val="1"/>
                <c:pt idx="0">
                  <c:v>Without disability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Education!$A$4:$A$7</c:f>
              <c:strCache>
                <c:ptCount val="4"/>
                <c:pt idx="0">
                  <c:v>other</c:v>
                </c:pt>
                <c:pt idx="1">
                  <c:v>Post-secondary &amp; Tertiary</c:v>
                </c:pt>
                <c:pt idx="2">
                  <c:v>Secondary school</c:v>
                </c:pt>
                <c:pt idx="3">
                  <c:v>Primary school</c:v>
                </c:pt>
              </c:strCache>
            </c:strRef>
          </c:cat>
          <c:val>
            <c:numRef>
              <c:f>Education!$B$4:$B$7</c:f>
              <c:numCache>
                <c:formatCode>0%</c:formatCode>
                <c:ptCount val="4"/>
                <c:pt idx="0">
                  <c:v>6.4891568282676041E-3</c:v>
                </c:pt>
                <c:pt idx="1">
                  <c:v>7.0606212844343971E-2</c:v>
                </c:pt>
                <c:pt idx="2">
                  <c:v>0.8107887465460939</c:v>
                </c:pt>
                <c:pt idx="3">
                  <c:v>0.11211588378129449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9-4D19-8A4C-F2832FD75602}"/>
            </c:ext>
          </c:extLst>
        </c:ser>
        <c:ser>
          <c:idx val="1"/>
          <c:order val="1"/>
          <c:tx>
            <c:strRef>
              <c:f>Education!$C$3</c:f>
              <c:strCache>
                <c:ptCount val="1"/>
                <c:pt idx="0">
                  <c:v>With disability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Education!$A$4:$A$7</c:f>
              <c:strCache>
                <c:ptCount val="4"/>
                <c:pt idx="0">
                  <c:v>other</c:v>
                </c:pt>
                <c:pt idx="1">
                  <c:v>Post-secondary &amp; Tertiary</c:v>
                </c:pt>
                <c:pt idx="2">
                  <c:v>Secondary school</c:v>
                </c:pt>
                <c:pt idx="3">
                  <c:v>Primary school</c:v>
                </c:pt>
              </c:strCache>
            </c:strRef>
          </c:cat>
          <c:val>
            <c:numRef>
              <c:f>Education!$C$4:$C$7</c:f>
              <c:numCache>
                <c:formatCode>0%</c:formatCode>
                <c:ptCount val="4"/>
                <c:pt idx="0">
                  <c:v>2.8919330289193298E-2</c:v>
                </c:pt>
                <c:pt idx="1">
                  <c:v>3.0187721968543899E-2</c:v>
                </c:pt>
                <c:pt idx="2">
                  <c:v>0.65550481988838138</c:v>
                </c:pt>
                <c:pt idx="3">
                  <c:v>0.28538812785388129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89-4D19-8A4C-F2832FD75602}"/>
            </c:ext>
          </c:extLst>
        </c:ser>
        <c:ser>
          <c:idx val="2"/>
          <c:order val="2"/>
          <c:tx>
            <c:strRef>
              <c:f>Education!$D$3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Education!$A$4:$A$7</c:f>
              <c:strCache>
                <c:ptCount val="4"/>
                <c:pt idx="0">
                  <c:v>other</c:v>
                </c:pt>
                <c:pt idx="1">
                  <c:v>Post-secondary &amp; Tertiary</c:v>
                </c:pt>
                <c:pt idx="2">
                  <c:v>Secondary school</c:v>
                </c:pt>
                <c:pt idx="3">
                  <c:v>Primary school</c:v>
                </c:pt>
              </c:strCache>
            </c:strRef>
          </c:cat>
          <c:val>
            <c:numRef>
              <c:f>Education!$D$4:$D$7</c:f>
              <c:numCache>
                <c:formatCode>0%</c:formatCode>
                <c:ptCount val="4"/>
                <c:pt idx="0">
                  <c:v>8.1989403256371579E-3</c:v>
                </c:pt>
                <c:pt idx="1">
                  <c:v>6.7525234946049423E-2</c:v>
                </c:pt>
                <c:pt idx="2">
                  <c:v>0.79895192791120395</c:v>
                </c:pt>
                <c:pt idx="3">
                  <c:v>0.12532389681710948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89-4D19-8A4C-F2832FD75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190176"/>
        <c:axId val="171189696"/>
      </c:barChart>
      <c:catAx>
        <c:axId val="17119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89696"/>
        <c:crosses val="autoZero"/>
        <c:auto val="1"/>
        <c:lblAlgn val="ctr"/>
        <c:lblOffset val="100"/>
        <c:noMultiLvlLbl val="0"/>
      </c:catAx>
      <c:valAx>
        <c:axId val="1711896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7119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'Labour force'!$A$3:$A$5</c:f>
              <c:strCache>
                <c:ptCount val="3"/>
                <c:pt idx="0">
                  <c:v>Total</c:v>
                </c:pt>
                <c:pt idx="1">
                  <c:v>Without disabilities</c:v>
                </c:pt>
                <c:pt idx="2">
                  <c:v>With disabilities</c:v>
                </c:pt>
              </c:strCache>
            </c:strRef>
          </c:cat>
          <c:val>
            <c:numRef>
              <c:f>'Labour force'!$B$3:$B$5</c:f>
              <c:numCache>
                <c:formatCode>0%</c:formatCode>
                <c:ptCount val="3"/>
                <c:pt idx="0">
                  <c:v>0.47</c:v>
                </c:pt>
                <c:pt idx="1">
                  <c:v>0.49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4-473A-8419-E0A02A50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842271"/>
        <c:axId val="1964845151"/>
      </c:barChart>
      <c:catAx>
        <c:axId val="19648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45151"/>
        <c:crosses val="autoZero"/>
        <c:auto val="1"/>
        <c:lblAlgn val="ctr"/>
        <c:lblOffset val="100"/>
        <c:noMultiLvlLbl val="0"/>
      </c:catAx>
      <c:valAx>
        <c:axId val="19648451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648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'Labour force'!$A$23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'Labour force'!$B$22:$D$22</c:f>
              <c:strCache>
                <c:ptCount val="3"/>
                <c:pt idx="0">
                  <c:v>Total</c:v>
                </c:pt>
                <c:pt idx="1">
                  <c:v>With disability</c:v>
                </c:pt>
                <c:pt idx="2">
                  <c:v>Without disability</c:v>
                </c:pt>
              </c:strCache>
            </c:strRef>
          </c:cat>
          <c:val>
            <c:numRef>
              <c:f>'Labour force'!$B$23:$D$23</c:f>
              <c:numCache>
                <c:formatCode>0%</c:formatCode>
                <c:ptCount val="3"/>
                <c:pt idx="0">
                  <c:v>0.5441239633924736</c:v>
                </c:pt>
                <c:pt idx="1">
                  <c:v>0.28141592920353981</c:v>
                </c:pt>
                <c:pt idx="2">
                  <c:v>0.55431238631293545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4-4E11-89FA-AEE98186FEBB}"/>
            </c:ext>
          </c:extLst>
        </c:ser>
        <c:ser>
          <c:idx val="1"/>
          <c:order val="1"/>
          <c:tx>
            <c:strRef>
              <c:f>'Labour force'!$A$24</c:f>
              <c:strCache>
                <c:ptCount val="1"/>
                <c:pt idx="0">
                  <c:v>Own-account workers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'Labour force'!$B$22:$D$22</c:f>
              <c:strCache>
                <c:ptCount val="3"/>
                <c:pt idx="0">
                  <c:v>Total</c:v>
                </c:pt>
                <c:pt idx="1">
                  <c:v>With disability</c:v>
                </c:pt>
                <c:pt idx="2">
                  <c:v>Without disability</c:v>
                </c:pt>
              </c:strCache>
            </c:strRef>
          </c:cat>
          <c:val>
            <c:numRef>
              <c:f>'Labour force'!$B$24:$D$24</c:f>
              <c:numCache>
                <c:formatCode>0%</c:formatCode>
                <c:ptCount val="3"/>
                <c:pt idx="0">
                  <c:v>0.37463243796874485</c:v>
                </c:pt>
                <c:pt idx="1">
                  <c:v>0.57787610619469032</c:v>
                </c:pt>
                <c:pt idx="2">
                  <c:v>0.3667501801832721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4-4E11-89FA-AEE98186FEBB}"/>
            </c:ext>
          </c:extLst>
        </c:ser>
        <c:ser>
          <c:idx val="2"/>
          <c:order val="2"/>
          <c:tx>
            <c:strRef>
              <c:f>'Labour force'!$A$25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'Labour force'!$B$22:$D$22</c:f>
              <c:strCache>
                <c:ptCount val="3"/>
                <c:pt idx="0">
                  <c:v>Total</c:v>
                </c:pt>
                <c:pt idx="1">
                  <c:v>With disability</c:v>
                </c:pt>
                <c:pt idx="2">
                  <c:v>Without disability</c:v>
                </c:pt>
              </c:strCache>
            </c:strRef>
          </c:cat>
          <c:val>
            <c:numRef>
              <c:f>'Labour force'!$B$25:$D$25</c:f>
              <c:numCache>
                <c:formatCode>0%</c:formatCode>
                <c:ptCount val="3"/>
                <c:pt idx="0">
                  <c:v>7.0109360029074572E-2</c:v>
                </c:pt>
                <c:pt idx="1">
                  <c:v>0.12831858407079647</c:v>
                </c:pt>
                <c:pt idx="2">
                  <c:v>6.7851872189998969E-2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4-4E11-89FA-AEE98186FEBB}"/>
            </c:ext>
          </c:extLst>
        </c:ser>
        <c:ser>
          <c:idx val="3"/>
          <c:order val="3"/>
          <c:tx>
            <c:strRef>
              <c:f>'Labour force'!$A$26</c:f>
              <c:strCache>
                <c:ptCount val="1"/>
                <c:pt idx="0">
                  <c:v>Employers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'Labour force'!$B$22:$D$22</c:f>
              <c:strCache>
                <c:ptCount val="3"/>
                <c:pt idx="0">
                  <c:v>Total</c:v>
                </c:pt>
                <c:pt idx="1">
                  <c:v>With disability</c:v>
                </c:pt>
                <c:pt idx="2">
                  <c:v>Without disability</c:v>
                </c:pt>
              </c:strCache>
            </c:strRef>
          </c:cat>
          <c:val>
            <c:numRef>
              <c:f>'Labour force'!$B$26:$D$26</c:f>
              <c:numCache>
                <c:formatCode>0%</c:formatCode>
                <c:ptCount val="3"/>
                <c:pt idx="0">
                  <c:v>1.1134238609706944E-2</c:v>
                </c:pt>
                <c:pt idx="1">
                  <c:v>1.2389380530973451E-2</c:v>
                </c:pt>
                <c:pt idx="2">
                  <c:v>1.1085561313793459E-2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4-4E11-89FA-AEE98186F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143807"/>
        <c:axId val="882150047"/>
      </c:barChart>
      <c:catAx>
        <c:axId val="88214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150047"/>
        <c:crosses val="autoZero"/>
        <c:auto val="1"/>
        <c:lblAlgn val="ctr"/>
        <c:lblOffset val="100"/>
        <c:noMultiLvlLbl val="0"/>
      </c:catAx>
      <c:valAx>
        <c:axId val="882150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8214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2</xdr:row>
      <xdr:rowOff>19051</xdr:rowOff>
    </xdr:from>
    <xdr:to>
      <xdr:col>21</xdr:col>
      <xdr:colOff>200025</xdr:colOff>
      <xdr:row>20</xdr:row>
      <xdr:rowOff>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BE15C42-E0BD-2568-83DE-608329A7E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0.24569</cdr:x>
      <cdr:y>0.92254</cdr:y>
    </cdr:from>
    <cdr:to>
      <cdr:x>0.32543</cdr:x>
      <cdr:y>0.92488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F89A4A5-434E-A63D-EF57-920B4A0683D8}"/>
            </a:ext>
          </a:extLst>
        </cdr:cNvPr>
        <cdr:cNvCxnSpPr/>
      </cdr:nvCxnSpPr>
      <cdr:spPr>
        <a:xfrm xmlns:a="http://schemas.openxmlformats.org/drawingml/2006/main">
          <a:off x="1085850" y="3743325"/>
          <a:ext cx="352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0.32543</cdr:x>
      <cdr:y>0.87793</cdr:y>
    </cdr:from>
    <cdr:to>
      <cdr:x>0.53233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5617C26-908A-C143-21C6-F56DD493A628}"/>
            </a:ext>
          </a:extLst>
        </cdr:cNvPr>
        <cdr:cNvSpPr txBox="1"/>
      </cdr:nvSpPr>
      <cdr:spPr>
        <a:xfrm xmlns:a="http://schemas.openxmlformats.org/drawingml/2006/main">
          <a:off x="1438275" y="3562348"/>
          <a:ext cx="914400" cy="4953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kern="1200"/>
            <a:t>Population without disability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2</xdr:row>
      <xdr:rowOff>85725</xdr:rowOff>
    </xdr:from>
    <xdr:to>
      <xdr:col>10</xdr:col>
      <xdr:colOff>38099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14CBC-5C3E-5F86-36E9-454145BA5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4762</xdr:rowOff>
    </xdr:from>
    <xdr:to>
      <xdr:col>12</xdr:col>
      <xdr:colOff>400050</xdr:colOff>
      <xdr:row>14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201B9F-2468-04EC-B4AC-F27C061E2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0</xdr:row>
      <xdr:rowOff>119063</xdr:rowOff>
    </xdr:from>
    <xdr:to>
      <xdr:col>8</xdr:col>
      <xdr:colOff>571500</xdr:colOff>
      <xdr:row>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B5C972-CA9B-2AAC-4BDB-0F879D3B1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13</xdr:row>
      <xdr:rowOff>4762</xdr:rowOff>
    </xdr:from>
    <xdr:to>
      <xdr:col>12</xdr:col>
      <xdr:colOff>190500</xdr:colOff>
      <xdr:row>26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8544FF-477F-31E8-2B89-F6D88E06D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A5E-3293-45FF-85D7-C42651F52EBF}">
  <dimension ref="A1:K37"/>
  <sheetViews>
    <sheetView tabSelected="1" workbookViewId="0">
      <selection activeCell="M2" sqref="M2"/>
    </sheetView>
  </sheetViews>
  <sheetFormatPr defaultRowHeight="15"/>
  <cols>
    <col min="1" max="1" width="16.5703125" customWidth="1"/>
    <col min="7" max="7" width="9.5703125" bestFit="1" customWidth="1"/>
  </cols>
  <sheetData>
    <row r="1" spans="1:11">
      <c r="A1" s="2" t="s">
        <v>0</v>
      </c>
    </row>
    <row r="3" spans="1:11" ht="15.75">
      <c r="A3" s="9" t="s">
        <v>1</v>
      </c>
      <c r="C3" s="32" t="s">
        <v>2</v>
      </c>
      <c r="D3" s="34"/>
      <c r="E3" s="33"/>
      <c r="F3" s="32" t="s">
        <v>3</v>
      </c>
      <c r="G3" s="34"/>
      <c r="H3" s="33"/>
      <c r="I3" s="32" t="s">
        <v>4</v>
      </c>
      <c r="J3" s="34"/>
      <c r="K3" s="33"/>
    </row>
    <row r="4" spans="1:11">
      <c r="C4" s="3" t="s">
        <v>5</v>
      </c>
      <c r="D4" s="12" t="s">
        <v>6</v>
      </c>
      <c r="E4" s="4" t="s">
        <v>7</v>
      </c>
      <c r="F4" s="3" t="s">
        <v>5</v>
      </c>
      <c r="G4" s="12" t="s">
        <v>6</v>
      </c>
      <c r="H4" s="4" t="s">
        <v>7</v>
      </c>
      <c r="I4" s="3" t="s">
        <v>5</v>
      </c>
      <c r="J4" s="12" t="s">
        <v>6</v>
      </c>
      <c r="K4" s="4" t="s">
        <v>7</v>
      </c>
    </row>
    <row r="5" spans="1:11">
      <c r="B5" s="18" t="s">
        <v>8</v>
      </c>
      <c r="C5" s="10">
        <v>419</v>
      </c>
      <c r="D5">
        <v>338</v>
      </c>
      <c r="E5" s="11">
        <v>757</v>
      </c>
      <c r="F5" s="10">
        <v>16114</v>
      </c>
      <c r="G5">
        <v>15138</v>
      </c>
      <c r="H5" s="11">
        <v>31252</v>
      </c>
      <c r="I5" s="10">
        <v>16533</v>
      </c>
      <c r="J5">
        <v>15476</v>
      </c>
      <c r="K5" s="11">
        <v>32009</v>
      </c>
    </row>
    <row r="6" spans="1:11">
      <c r="B6" s="5" t="s">
        <v>9</v>
      </c>
      <c r="C6" s="10">
        <v>263</v>
      </c>
      <c r="D6">
        <v>233</v>
      </c>
      <c r="E6" s="11">
        <v>496</v>
      </c>
      <c r="F6" s="10">
        <v>11655</v>
      </c>
      <c r="G6">
        <v>11657</v>
      </c>
      <c r="H6" s="11">
        <v>23312</v>
      </c>
      <c r="I6" s="10">
        <v>11918</v>
      </c>
      <c r="J6">
        <v>11890</v>
      </c>
      <c r="K6" s="11">
        <v>23808</v>
      </c>
    </row>
    <row r="7" spans="1:11">
      <c r="B7" s="5" t="s">
        <v>10</v>
      </c>
      <c r="C7" s="10">
        <v>251</v>
      </c>
      <c r="D7">
        <v>217</v>
      </c>
      <c r="E7" s="11">
        <v>468</v>
      </c>
      <c r="F7" s="10">
        <v>7737</v>
      </c>
      <c r="G7">
        <v>8381</v>
      </c>
      <c r="H7" s="11">
        <v>16118</v>
      </c>
      <c r="I7" s="10">
        <v>7988</v>
      </c>
      <c r="J7">
        <v>8598</v>
      </c>
      <c r="K7" s="11">
        <v>16586</v>
      </c>
    </row>
    <row r="8" spans="1:11">
      <c r="B8" s="5" t="s">
        <v>11</v>
      </c>
      <c r="C8" s="10">
        <v>351</v>
      </c>
      <c r="D8">
        <v>320</v>
      </c>
      <c r="E8" s="11">
        <v>671</v>
      </c>
      <c r="F8" s="10">
        <v>4759</v>
      </c>
      <c r="G8">
        <v>5213</v>
      </c>
      <c r="H8" s="11">
        <v>9972</v>
      </c>
      <c r="I8" s="10">
        <v>5110</v>
      </c>
      <c r="J8">
        <v>5533</v>
      </c>
      <c r="K8" s="11">
        <v>10643</v>
      </c>
    </row>
    <row r="9" spans="1:11">
      <c r="B9" s="5" t="s">
        <v>12</v>
      </c>
      <c r="C9" s="10">
        <v>491</v>
      </c>
      <c r="D9">
        <v>565</v>
      </c>
      <c r="E9" s="11">
        <v>1056</v>
      </c>
      <c r="F9" s="10">
        <v>3587</v>
      </c>
      <c r="G9">
        <v>4351</v>
      </c>
      <c r="H9" s="11">
        <v>7938</v>
      </c>
      <c r="I9" s="10">
        <v>4078</v>
      </c>
      <c r="J9">
        <v>4916</v>
      </c>
      <c r="K9" s="11">
        <v>8994</v>
      </c>
    </row>
    <row r="10" spans="1:11">
      <c r="B10" s="5" t="s">
        <v>13</v>
      </c>
      <c r="C10" s="10">
        <v>422</v>
      </c>
      <c r="D10">
        <v>592</v>
      </c>
      <c r="E10" s="11">
        <v>1014</v>
      </c>
      <c r="F10" s="10">
        <v>1714</v>
      </c>
      <c r="G10">
        <v>2240</v>
      </c>
      <c r="H10" s="11">
        <v>3954</v>
      </c>
      <c r="I10" s="10">
        <v>2136</v>
      </c>
      <c r="J10">
        <v>2832</v>
      </c>
      <c r="K10" s="11">
        <v>4968</v>
      </c>
    </row>
    <row r="11" spans="1:11">
      <c r="B11" s="5" t="s">
        <v>14</v>
      </c>
      <c r="C11" s="10">
        <v>246</v>
      </c>
      <c r="D11">
        <v>575</v>
      </c>
      <c r="E11" s="11">
        <v>821</v>
      </c>
      <c r="F11" s="10">
        <v>484</v>
      </c>
      <c r="G11">
        <v>706</v>
      </c>
      <c r="H11" s="11">
        <v>1190</v>
      </c>
      <c r="I11" s="10">
        <v>730</v>
      </c>
      <c r="J11">
        <v>1281</v>
      </c>
      <c r="K11" s="11">
        <v>2011</v>
      </c>
    </row>
    <row r="12" spans="1:11">
      <c r="B12" s="5" t="s">
        <v>15</v>
      </c>
      <c r="C12" s="10">
        <v>74</v>
      </c>
      <c r="D12">
        <v>202</v>
      </c>
      <c r="E12" s="11">
        <v>276</v>
      </c>
      <c r="F12" s="10">
        <v>50</v>
      </c>
      <c r="G12">
        <v>121</v>
      </c>
      <c r="H12" s="11">
        <v>171</v>
      </c>
      <c r="I12" s="10">
        <v>124</v>
      </c>
      <c r="J12">
        <v>323</v>
      </c>
      <c r="K12" s="11">
        <v>447</v>
      </c>
    </row>
    <row r="13" spans="1:11">
      <c r="B13" s="6" t="s">
        <v>7</v>
      </c>
      <c r="C13" s="3">
        <v>2517</v>
      </c>
      <c r="D13" s="12">
        <v>3042</v>
      </c>
      <c r="E13" s="4">
        <v>5559</v>
      </c>
      <c r="F13" s="3">
        <v>46100</v>
      </c>
      <c r="G13" s="12">
        <v>47807</v>
      </c>
      <c r="H13" s="4">
        <v>93907</v>
      </c>
      <c r="I13" s="3">
        <v>48617</v>
      </c>
      <c r="J13" s="12">
        <v>50849</v>
      </c>
      <c r="K13" s="4">
        <v>99466</v>
      </c>
    </row>
    <row r="16" spans="1:11" ht="15.75">
      <c r="A16" s="9" t="s">
        <v>16</v>
      </c>
      <c r="C16" s="32" t="s">
        <v>2</v>
      </c>
      <c r="D16" s="34"/>
      <c r="E16" s="33"/>
      <c r="F16" s="32" t="s">
        <v>3</v>
      </c>
      <c r="G16" s="34"/>
      <c r="H16" s="33"/>
      <c r="I16" s="32" t="s">
        <v>4</v>
      </c>
      <c r="J16" s="34"/>
      <c r="K16" s="33"/>
    </row>
    <row r="17" spans="2:11">
      <c r="C17" s="3" t="s">
        <v>5</v>
      </c>
      <c r="D17" s="12" t="s">
        <v>6</v>
      </c>
      <c r="E17" s="4" t="s">
        <v>7</v>
      </c>
      <c r="F17" s="3" t="s">
        <v>5</v>
      </c>
      <c r="G17" s="12" t="s">
        <v>6</v>
      </c>
      <c r="H17" s="4" t="s">
        <v>7</v>
      </c>
      <c r="I17" s="3" t="s">
        <v>5</v>
      </c>
      <c r="J17" s="12" t="s">
        <v>6</v>
      </c>
      <c r="K17" s="4" t="s">
        <v>7</v>
      </c>
    </row>
    <row r="18" spans="2:11">
      <c r="B18" s="18" t="s">
        <v>8</v>
      </c>
      <c r="C18" s="14">
        <f>C5/C$13*100</f>
        <v>16.646801748112832</v>
      </c>
      <c r="D18" s="7">
        <f t="shared" ref="D18:J18" si="0">D5/D$13*100</f>
        <v>11.111111111111111</v>
      </c>
      <c r="E18" s="19">
        <f t="shared" si="0"/>
        <v>13.617557114588955</v>
      </c>
      <c r="F18" s="14">
        <f t="shared" si="0"/>
        <v>34.954446854663772</v>
      </c>
      <c r="G18" s="7">
        <f t="shared" si="0"/>
        <v>31.664818959566592</v>
      </c>
      <c r="H18" s="19">
        <f t="shared" si="0"/>
        <v>33.279734205117826</v>
      </c>
      <c r="I18" s="14">
        <f t="shared" si="0"/>
        <v>34.00662319764691</v>
      </c>
      <c r="J18" s="7">
        <f t="shared" si="0"/>
        <v>30.435210131959327</v>
      </c>
      <c r="K18" s="19">
        <f>K5/K$13*100</f>
        <v>32.180845716124104</v>
      </c>
    </row>
    <row r="19" spans="2:11">
      <c r="B19" s="5" t="s">
        <v>9</v>
      </c>
      <c r="C19" s="14">
        <f>C6/C$13*100</f>
        <v>10.448947159316647</v>
      </c>
      <c r="D19" s="7">
        <f t="shared" ref="D19:K19" si="1">D6/D$13*100</f>
        <v>7.6594345825115058</v>
      </c>
      <c r="E19" s="19">
        <f t="shared" si="1"/>
        <v>8.9224680697967251</v>
      </c>
      <c r="F19" s="14">
        <f t="shared" si="1"/>
        <v>25.281995661605205</v>
      </c>
      <c r="G19" s="7">
        <f t="shared" si="1"/>
        <v>24.383458489342566</v>
      </c>
      <c r="H19" s="19">
        <f t="shared" si="1"/>
        <v>24.824560469400577</v>
      </c>
      <c r="I19" s="14">
        <f t="shared" si="1"/>
        <v>24.514058868297099</v>
      </c>
      <c r="J19" s="7">
        <f t="shared" si="1"/>
        <v>23.382957383626028</v>
      </c>
      <c r="K19" s="19">
        <f t="shared" si="1"/>
        <v>23.935817264190778</v>
      </c>
    </row>
    <row r="20" spans="2:11">
      <c r="B20" s="5" t="s">
        <v>10</v>
      </c>
      <c r="C20" s="14">
        <f t="shared" ref="C20:K25" si="2">C7/C$13*100</f>
        <v>9.9721891140246317</v>
      </c>
      <c r="D20" s="7">
        <f t="shared" si="2"/>
        <v>7.1334648257725171</v>
      </c>
      <c r="E20" s="19">
        <f t="shared" si="2"/>
        <v>8.4187803561791696</v>
      </c>
      <c r="F20" s="14">
        <f t="shared" si="2"/>
        <v>16.783080260303688</v>
      </c>
      <c r="G20" s="7">
        <f t="shared" si="2"/>
        <v>17.53090551592863</v>
      </c>
      <c r="H20" s="19">
        <f t="shared" si="2"/>
        <v>17.163789706837616</v>
      </c>
      <c r="I20" s="14">
        <f t="shared" si="2"/>
        <v>16.430466709175803</v>
      </c>
      <c r="J20" s="7">
        <f t="shared" si="2"/>
        <v>16.908887097091387</v>
      </c>
      <c r="K20" s="19">
        <f t="shared" si="2"/>
        <v>16.675044738905758</v>
      </c>
    </row>
    <row r="21" spans="2:11">
      <c r="B21" s="5" t="s">
        <v>11</v>
      </c>
      <c r="C21" s="14">
        <f t="shared" si="2"/>
        <v>13.945172824791419</v>
      </c>
      <c r="D21" s="7">
        <f t="shared" si="2"/>
        <v>10.519395134779751</v>
      </c>
      <c r="E21" s="19">
        <f t="shared" si="2"/>
        <v>12.070516279906458</v>
      </c>
      <c r="F21" s="14">
        <f t="shared" si="2"/>
        <v>10.323210412147505</v>
      </c>
      <c r="G21" s="7">
        <f t="shared" si="2"/>
        <v>10.904260882297571</v>
      </c>
      <c r="H21" s="19">
        <f t="shared" si="2"/>
        <v>10.61901668672197</v>
      </c>
      <c r="I21" s="14">
        <f t="shared" si="2"/>
        <v>10.510726700536848</v>
      </c>
      <c r="J21" s="7">
        <f t="shared" si="2"/>
        <v>10.881236602489725</v>
      </c>
      <c r="K21" s="19">
        <f t="shared" si="2"/>
        <v>10.700138740876278</v>
      </c>
    </row>
    <row r="22" spans="2:11">
      <c r="B22" s="5" t="s">
        <v>12</v>
      </c>
      <c r="C22" s="14">
        <f t="shared" si="2"/>
        <v>19.507350019864919</v>
      </c>
      <c r="D22" s="7">
        <f t="shared" si="2"/>
        <v>18.573307034845495</v>
      </c>
      <c r="E22" s="19">
        <f t="shared" si="2"/>
        <v>18.996222342147867</v>
      </c>
      <c r="F22" s="14">
        <f t="shared" si="2"/>
        <v>7.780911062906724</v>
      </c>
      <c r="G22" s="7">
        <f t="shared" si="2"/>
        <v>9.1011776518083121</v>
      </c>
      <c r="H22" s="19">
        <f t="shared" si="2"/>
        <v>8.4530439690331924</v>
      </c>
      <c r="I22" s="14">
        <f t="shared" si="2"/>
        <v>8.3880124236378215</v>
      </c>
      <c r="J22" s="7">
        <f t="shared" si="2"/>
        <v>9.6678400755177094</v>
      </c>
      <c r="K22" s="19">
        <f t="shared" si="2"/>
        <v>9.0422858062051361</v>
      </c>
    </row>
    <row r="23" spans="2:11">
      <c r="B23" s="5" t="s">
        <v>13</v>
      </c>
      <c r="C23" s="14">
        <f t="shared" si="2"/>
        <v>16.765991259435836</v>
      </c>
      <c r="D23" s="7">
        <f t="shared" si="2"/>
        <v>19.460880999342539</v>
      </c>
      <c r="E23" s="19">
        <f t="shared" si="2"/>
        <v>18.240690771721532</v>
      </c>
      <c r="F23" s="14">
        <f t="shared" si="2"/>
        <v>3.7180043383947941</v>
      </c>
      <c r="G23" s="7">
        <f t="shared" si="2"/>
        <v>4.6855063066078184</v>
      </c>
      <c r="H23" s="19">
        <f t="shared" si="2"/>
        <v>4.2105487343861476</v>
      </c>
      <c r="I23" s="14">
        <f t="shared" si="2"/>
        <v>4.3935248986979865</v>
      </c>
      <c r="J23" s="7">
        <f t="shared" si="2"/>
        <v>5.5694310605911621</v>
      </c>
      <c r="K23" s="19">
        <f t="shared" si="2"/>
        <v>4.9946715460559385</v>
      </c>
    </row>
    <row r="24" spans="2:11">
      <c r="B24" s="5" t="s">
        <v>14</v>
      </c>
      <c r="C24" s="14">
        <f t="shared" si="2"/>
        <v>9.7735399284862918</v>
      </c>
      <c r="D24" s="7">
        <f t="shared" si="2"/>
        <v>18.902038132807363</v>
      </c>
      <c r="E24" s="19">
        <f t="shared" si="2"/>
        <v>14.768843317143372</v>
      </c>
      <c r="F24" s="14">
        <f t="shared" si="2"/>
        <v>1.0498915401301518</v>
      </c>
      <c r="G24" s="7">
        <f t="shared" si="2"/>
        <v>1.4767711841362143</v>
      </c>
      <c r="H24" s="19">
        <f t="shared" si="2"/>
        <v>1.2672111770155581</v>
      </c>
      <c r="I24" s="14">
        <f t="shared" si="2"/>
        <v>1.5015323857909786</v>
      </c>
      <c r="J24" s="7">
        <f t="shared" si="2"/>
        <v>2.5192235835512991</v>
      </c>
      <c r="K24" s="19">
        <f t="shared" si="2"/>
        <v>2.0217963927372167</v>
      </c>
    </row>
    <row r="25" spans="2:11">
      <c r="B25" s="6" t="s">
        <v>15</v>
      </c>
      <c r="C25" s="20">
        <f t="shared" si="2"/>
        <v>2.9400079459674213</v>
      </c>
      <c r="D25" s="21">
        <f t="shared" si="2"/>
        <v>6.6403681788297169</v>
      </c>
      <c r="E25" s="22">
        <f t="shared" si="2"/>
        <v>4.9649217485159198</v>
      </c>
      <c r="F25" s="20">
        <f t="shared" si="2"/>
        <v>0.10845986984815618</v>
      </c>
      <c r="G25" s="21">
        <f t="shared" si="2"/>
        <v>0.25310101031229737</v>
      </c>
      <c r="H25" s="22">
        <f t="shared" si="2"/>
        <v>0.18209505148710958</v>
      </c>
      <c r="I25" s="20">
        <f t="shared" si="2"/>
        <v>0.2550548162165498</v>
      </c>
      <c r="J25" s="21">
        <f t="shared" si="2"/>
        <v>0.63521406517335643</v>
      </c>
      <c r="K25" s="22">
        <f t="shared" si="2"/>
        <v>0.44939979490479165</v>
      </c>
    </row>
    <row r="28" spans="2:11">
      <c r="C28" s="32" t="s">
        <v>2</v>
      </c>
      <c r="D28" s="33"/>
      <c r="E28" s="32" t="s">
        <v>3</v>
      </c>
      <c r="F28" s="33"/>
    </row>
    <row r="29" spans="2:11">
      <c r="C29" s="3" t="s">
        <v>5</v>
      </c>
      <c r="D29" s="4" t="s">
        <v>6</v>
      </c>
      <c r="E29" s="3" t="s">
        <v>5</v>
      </c>
      <c r="F29" s="4" t="s">
        <v>6</v>
      </c>
    </row>
    <row r="30" spans="2:11">
      <c r="B30" s="18" t="s">
        <v>8</v>
      </c>
      <c r="C30" s="14">
        <f>C18*-1</f>
        <v>-16.646801748112832</v>
      </c>
      <c r="D30" s="19">
        <f>D18</f>
        <v>11.111111111111111</v>
      </c>
      <c r="E30" s="14">
        <f>F18*-1</f>
        <v>-34.954446854663772</v>
      </c>
      <c r="F30" s="19">
        <f>G18</f>
        <v>31.664818959566592</v>
      </c>
    </row>
    <row r="31" spans="2:11">
      <c r="B31" s="5" t="s">
        <v>9</v>
      </c>
      <c r="C31" s="14">
        <f t="shared" ref="C31" si="3">C19*-1</f>
        <v>-10.448947159316647</v>
      </c>
      <c r="D31" s="19">
        <f t="shared" ref="D31:D37" si="4">D19</f>
        <v>7.6594345825115058</v>
      </c>
      <c r="E31" s="14">
        <f t="shared" ref="E31" si="5">F19*-1</f>
        <v>-25.281995661605205</v>
      </c>
      <c r="F31" s="19">
        <f t="shared" ref="F31:F37" si="6">G19</f>
        <v>24.383458489342566</v>
      </c>
    </row>
    <row r="32" spans="2:11">
      <c r="B32" s="5" t="s">
        <v>10</v>
      </c>
      <c r="C32" s="14">
        <f t="shared" ref="C32" si="7">C20*-1</f>
        <v>-9.9721891140246317</v>
      </c>
      <c r="D32" s="19">
        <f t="shared" si="4"/>
        <v>7.1334648257725171</v>
      </c>
      <c r="E32" s="14">
        <f t="shared" ref="E32" si="8">F20*-1</f>
        <v>-16.783080260303688</v>
      </c>
      <c r="F32" s="19">
        <f t="shared" si="6"/>
        <v>17.53090551592863</v>
      </c>
    </row>
    <row r="33" spans="2:6">
      <c r="B33" s="5" t="s">
        <v>11</v>
      </c>
      <c r="C33" s="14">
        <f t="shared" ref="C33" si="9">C21*-1</f>
        <v>-13.945172824791419</v>
      </c>
      <c r="D33" s="19">
        <f t="shared" si="4"/>
        <v>10.519395134779751</v>
      </c>
      <c r="E33" s="14">
        <f t="shared" ref="E33" si="10">F21*-1</f>
        <v>-10.323210412147505</v>
      </c>
      <c r="F33" s="19">
        <f t="shared" si="6"/>
        <v>10.904260882297571</v>
      </c>
    </row>
    <row r="34" spans="2:6">
      <c r="B34" s="5" t="s">
        <v>12</v>
      </c>
      <c r="C34" s="14">
        <f t="shared" ref="C34" si="11">C22*-1</f>
        <v>-19.507350019864919</v>
      </c>
      <c r="D34" s="19">
        <f t="shared" si="4"/>
        <v>18.573307034845495</v>
      </c>
      <c r="E34" s="14">
        <f t="shared" ref="E34" si="12">F22*-1</f>
        <v>-7.780911062906724</v>
      </c>
      <c r="F34" s="19">
        <f t="shared" si="6"/>
        <v>9.1011776518083121</v>
      </c>
    </row>
    <row r="35" spans="2:6">
      <c r="B35" s="5" t="s">
        <v>13</v>
      </c>
      <c r="C35" s="14">
        <f t="shared" ref="C35" si="13">C23*-1</f>
        <v>-16.765991259435836</v>
      </c>
      <c r="D35" s="19">
        <f t="shared" si="4"/>
        <v>19.460880999342539</v>
      </c>
      <c r="E35" s="14">
        <f t="shared" ref="E35" si="14">F23*-1</f>
        <v>-3.7180043383947941</v>
      </c>
      <c r="F35" s="19">
        <f t="shared" si="6"/>
        <v>4.6855063066078184</v>
      </c>
    </row>
    <row r="36" spans="2:6">
      <c r="B36" s="5" t="s">
        <v>14</v>
      </c>
      <c r="C36" s="14">
        <f t="shared" ref="C36" si="15">C24*-1</f>
        <v>-9.7735399284862918</v>
      </c>
      <c r="D36" s="19">
        <f t="shared" si="4"/>
        <v>18.902038132807363</v>
      </c>
      <c r="E36" s="14">
        <f t="shared" ref="E36" si="16">F24*-1</f>
        <v>-1.0498915401301518</v>
      </c>
      <c r="F36" s="19">
        <f t="shared" si="6"/>
        <v>1.4767711841362143</v>
      </c>
    </row>
    <row r="37" spans="2:6">
      <c r="B37" s="6" t="s">
        <v>15</v>
      </c>
      <c r="C37" s="20">
        <f t="shared" ref="C37" si="17">C25*-1</f>
        <v>-2.9400079459674213</v>
      </c>
      <c r="D37" s="22">
        <f t="shared" si="4"/>
        <v>6.6403681788297169</v>
      </c>
      <c r="E37" s="20">
        <f t="shared" ref="E37" si="18">F25*-1</f>
        <v>-0.10845986984815618</v>
      </c>
      <c r="F37" s="22">
        <f t="shared" si="6"/>
        <v>0.25310101031229737</v>
      </c>
    </row>
  </sheetData>
  <mergeCells count="8">
    <mergeCell ref="C28:D28"/>
    <mergeCell ref="E28:F28"/>
    <mergeCell ref="C3:E3"/>
    <mergeCell ref="F3:H3"/>
    <mergeCell ref="I3:K3"/>
    <mergeCell ref="C16:E16"/>
    <mergeCell ref="F16:H16"/>
    <mergeCell ref="I16:K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9F3-3214-4D64-BFB7-709B9DA4E9B9}">
  <dimension ref="A1:G22"/>
  <sheetViews>
    <sheetView workbookViewId="0">
      <selection activeCell="J22" sqref="J22"/>
    </sheetView>
  </sheetViews>
  <sheetFormatPr defaultRowHeight="15"/>
  <cols>
    <col min="1" max="1" width="11.7109375" customWidth="1"/>
    <col min="2" max="4" width="11.7109375" style="8" customWidth="1"/>
    <col min="5" max="10" width="11.7109375" customWidth="1"/>
  </cols>
  <sheetData>
    <row r="1" spans="1:4">
      <c r="A1" s="35" t="s">
        <v>17</v>
      </c>
      <c r="B1" s="35"/>
      <c r="C1" s="35"/>
      <c r="D1" s="35"/>
    </row>
    <row r="2" spans="1:4">
      <c r="A2" s="2"/>
    </row>
    <row r="4" spans="1:4">
      <c r="A4" s="2" t="s">
        <v>18</v>
      </c>
      <c r="C4"/>
    </row>
    <row r="5" spans="1:4" ht="30">
      <c r="B5" s="23" t="s">
        <v>2</v>
      </c>
      <c r="C5"/>
    </row>
    <row r="6" spans="1:4">
      <c r="A6" s="24" t="s">
        <v>8</v>
      </c>
      <c r="B6" s="26">
        <v>2.3649598550407699E-2</v>
      </c>
      <c r="C6" s="25"/>
    </row>
    <row r="7" spans="1:4">
      <c r="A7" s="13" t="s">
        <v>9</v>
      </c>
      <c r="B7" s="26">
        <v>2.0833333333333329E-2</v>
      </c>
      <c r="C7" s="25"/>
    </row>
    <row r="8" spans="1:4">
      <c r="A8" s="13" t="s">
        <v>10</v>
      </c>
      <c r="B8" s="26">
        <v>2.8216568190039794E-2</v>
      </c>
      <c r="C8" s="25"/>
    </row>
    <row r="9" spans="1:4">
      <c r="A9" s="13" t="s">
        <v>11</v>
      </c>
      <c r="B9" s="26">
        <v>6.3046133608944843E-2</v>
      </c>
      <c r="C9" s="25"/>
    </row>
    <row r="10" spans="1:4">
      <c r="A10" s="13" t="s">
        <v>12</v>
      </c>
      <c r="B10" s="26">
        <v>0.11741160773849232</v>
      </c>
      <c r="C10" s="25"/>
    </row>
    <row r="11" spans="1:4">
      <c r="A11" s="13" t="s">
        <v>13</v>
      </c>
      <c r="B11" s="26">
        <v>0.20410628019323671</v>
      </c>
      <c r="C11" s="25"/>
    </row>
    <row r="12" spans="1:4">
      <c r="A12" s="13" t="s">
        <v>14</v>
      </c>
      <c r="B12" s="26">
        <v>0.40825459970164096</v>
      </c>
      <c r="C12" s="25"/>
    </row>
    <row r="13" spans="1:4">
      <c r="A13" s="13" t="s">
        <v>15</v>
      </c>
      <c r="B13" s="26">
        <v>0.6174496644295302</v>
      </c>
      <c r="C13" s="25"/>
    </row>
    <row r="17" spans="1:7">
      <c r="A17" s="2" t="s">
        <v>19</v>
      </c>
    </row>
    <row r="19" spans="1:7">
      <c r="B19" s="15" t="s">
        <v>20</v>
      </c>
      <c r="C19" s="15" t="s">
        <v>21</v>
      </c>
      <c r="D19" s="13" t="s">
        <v>22</v>
      </c>
      <c r="E19" s="13" t="s">
        <v>23</v>
      </c>
      <c r="F19" s="13" t="s">
        <v>24</v>
      </c>
      <c r="G19" s="13" t="s">
        <v>25</v>
      </c>
    </row>
    <row r="20" spans="1:7">
      <c r="A20" s="13" t="s">
        <v>7</v>
      </c>
      <c r="B20" s="28">
        <v>2.9105422958598918E-2</v>
      </c>
      <c r="C20" s="28">
        <v>1.378360444775099E-2</v>
      </c>
      <c r="D20" s="28">
        <v>1.246657149176603E-2</v>
      </c>
      <c r="E20" s="28">
        <v>1.2034262964228984E-2</v>
      </c>
      <c r="F20" s="28">
        <v>1.0496048901132045E-2</v>
      </c>
      <c r="G20" s="28">
        <v>1.0254760420646249E-2</v>
      </c>
    </row>
    <row r="21" spans="1:7">
      <c r="A21" s="13" t="s">
        <v>26</v>
      </c>
      <c r="B21" s="28">
        <v>2.5011827138655199E-2</v>
      </c>
      <c r="C21" s="28">
        <v>1.2793878684410802E-2</v>
      </c>
      <c r="D21" s="28">
        <v>1.1724293971244627E-2</v>
      </c>
      <c r="E21" s="28">
        <v>9.7085381656622175E-3</v>
      </c>
      <c r="F21" s="28">
        <v>1.0983812246744966E-2</v>
      </c>
      <c r="G21" s="28">
        <v>1.0942674373161652E-2</v>
      </c>
    </row>
    <row r="22" spans="1:7">
      <c r="A22" s="13" t="s">
        <v>27</v>
      </c>
      <c r="B22" s="28">
        <v>3.3019331746937011E-2</v>
      </c>
      <c r="C22" s="28">
        <v>1.4729886526775355E-2</v>
      </c>
      <c r="D22" s="28">
        <v>1.3176266986568074E-2</v>
      </c>
      <c r="E22" s="28">
        <v>1.4257900843674409E-2</v>
      </c>
      <c r="F22" s="28">
        <v>1.0029695765895101E-2</v>
      </c>
      <c r="G22" s="28">
        <v>9.5970422230525678E-3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A3A9-1FA6-44FB-9B4A-082107ECCD77}">
  <dimension ref="A1:D8"/>
  <sheetViews>
    <sheetView workbookViewId="0">
      <selection activeCell="K30" sqref="K30"/>
    </sheetView>
  </sheetViews>
  <sheetFormatPr defaultRowHeight="15"/>
  <cols>
    <col min="1" max="1" width="20.28515625" customWidth="1"/>
    <col min="2" max="3" width="12.42578125" customWidth="1"/>
    <col min="4" max="4" width="10.42578125" customWidth="1"/>
  </cols>
  <sheetData>
    <row r="1" spans="1:4">
      <c r="B1" s="27"/>
      <c r="C1" s="27"/>
    </row>
    <row r="2" spans="1:4">
      <c r="A2" s="2" t="s">
        <v>28</v>
      </c>
    </row>
    <row r="3" spans="1:4" ht="30">
      <c r="B3" s="23" t="s">
        <v>3</v>
      </c>
      <c r="C3" s="23" t="s">
        <v>2</v>
      </c>
      <c r="D3" s="23" t="s">
        <v>7</v>
      </c>
    </row>
    <row r="4" spans="1:4">
      <c r="A4" s="13" t="s">
        <v>29</v>
      </c>
      <c r="B4" s="26">
        <v>6.4891568282676041E-3</v>
      </c>
      <c r="C4" s="26">
        <v>2.8919330289193298E-2</v>
      </c>
      <c r="D4" s="26">
        <v>8.1989403256371579E-3</v>
      </c>
    </row>
    <row r="5" spans="1:4">
      <c r="A5" s="13" t="s">
        <v>30</v>
      </c>
      <c r="B5" s="26">
        <v>7.0606212844343971E-2</v>
      </c>
      <c r="C5" s="26">
        <v>3.0187721968543899E-2</v>
      </c>
      <c r="D5" s="26">
        <v>6.7525234946049423E-2</v>
      </c>
    </row>
    <row r="6" spans="1:4">
      <c r="A6" s="13" t="s">
        <v>31</v>
      </c>
      <c r="B6" s="26">
        <v>0.8107887465460939</v>
      </c>
      <c r="C6" s="26">
        <v>0.65550481988838138</v>
      </c>
      <c r="D6" s="26">
        <v>0.79895192791120395</v>
      </c>
    </row>
    <row r="7" spans="1:4">
      <c r="A7" s="13" t="s">
        <v>32</v>
      </c>
      <c r="B7" s="26">
        <v>0.11211588378129449</v>
      </c>
      <c r="C7" s="26">
        <v>0.28538812785388129</v>
      </c>
      <c r="D7" s="26">
        <v>0.12532389681710948</v>
      </c>
    </row>
    <row r="8" spans="1:4">
      <c r="B8" s="25"/>
      <c r="C8" s="25"/>
      <c r="D8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E4F2-7784-4CD3-9842-ADDB4F08703E}">
  <dimension ref="A1:E34"/>
  <sheetViews>
    <sheetView workbookViewId="0">
      <selection activeCell="I32" sqref="I32"/>
    </sheetView>
  </sheetViews>
  <sheetFormatPr defaultRowHeight="15"/>
  <cols>
    <col min="1" max="1" width="32.140625" customWidth="1"/>
    <col min="2" max="10" width="10" customWidth="1"/>
  </cols>
  <sheetData>
    <row r="1" spans="1:5">
      <c r="A1" s="29" t="s">
        <v>33</v>
      </c>
      <c r="C1" s="7"/>
    </row>
    <row r="2" spans="1:5">
      <c r="A2" s="16"/>
      <c r="C2" s="7"/>
    </row>
    <row r="3" spans="1:5">
      <c r="A3" s="30" t="s">
        <v>7</v>
      </c>
      <c r="B3" s="31">
        <v>0.47</v>
      </c>
      <c r="C3" s="7"/>
    </row>
    <row r="4" spans="1:5">
      <c r="A4" s="30" t="s">
        <v>34</v>
      </c>
      <c r="B4" s="31">
        <v>0.49</v>
      </c>
      <c r="C4" s="7"/>
    </row>
    <row r="5" spans="1:5">
      <c r="A5" s="30" t="s">
        <v>35</v>
      </c>
      <c r="B5" s="31">
        <v>0.25</v>
      </c>
      <c r="C5" s="7"/>
      <c r="D5" s="17"/>
    </row>
    <row r="6" spans="1:5">
      <c r="C6" s="1"/>
      <c r="E6" s="1"/>
    </row>
    <row r="7" spans="1:5">
      <c r="C7" s="1"/>
      <c r="E7" s="1"/>
    </row>
    <row r="8" spans="1:5">
      <c r="C8" s="1"/>
      <c r="E8" s="1"/>
    </row>
    <row r="9" spans="1:5">
      <c r="C9" s="1"/>
      <c r="E9" s="1"/>
    </row>
    <row r="10" spans="1:5">
      <c r="C10" s="1"/>
      <c r="E10" s="1"/>
    </row>
    <row r="11" spans="1:5">
      <c r="C11" s="1"/>
      <c r="E11" s="1"/>
    </row>
    <row r="12" spans="1:5">
      <c r="C12" s="1"/>
      <c r="E12" s="1"/>
    </row>
    <row r="13" spans="1:5">
      <c r="A13" s="2" t="s">
        <v>36</v>
      </c>
    </row>
    <row r="15" spans="1:5">
      <c r="A15" s="13" t="s">
        <v>37</v>
      </c>
      <c r="B15" s="13" t="s">
        <v>7</v>
      </c>
      <c r="C15" s="13" t="s">
        <v>2</v>
      </c>
      <c r="D15" s="13" t="s">
        <v>3</v>
      </c>
    </row>
    <row r="16" spans="1:5">
      <c r="A16" s="13" t="s">
        <v>38</v>
      </c>
      <c r="B16" s="13">
        <f>C16+D16</f>
        <v>16469</v>
      </c>
      <c r="C16" s="13">
        <v>318</v>
      </c>
      <c r="D16" s="13">
        <v>16151</v>
      </c>
    </row>
    <row r="17" spans="1:4">
      <c r="A17" s="13" t="s">
        <v>39</v>
      </c>
      <c r="B17" s="13">
        <f>C17+D17</f>
        <v>11339</v>
      </c>
      <c r="C17" s="13">
        <v>653</v>
      </c>
      <c r="D17" s="13">
        <v>10686</v>
      </c>
    </row>
    <row r="18" spans="1:4">
      <c r="A18" s="13" t="s">
        <v>40</v>
      </c>
      <c r="B18" s="13">
        <f>C18+D18</f>
        <v>2122</v>
      </c>
      <c r="C18" s="13">
        <v>145</v>
      </c>
      <c r="D18" s="13">
        <v>1977</v>
      </c>
    </row>
    <row r="19" spans="1:4">
      <c r="A19" s="13" t="s">
        <v>41</v>
      </c>
      <c r="B19" s="13">
        <f>C19+D19</f>
        <v>337</v>
      </c>
      <c r="C19" s="13">
        <v>14</v>
      </c>
      <c r="D19" s="13">
        <v>323</v>
      </c>
    </row>
    <row r="20" spans="1:4">
      <c r="A20" s="13" t="s">
        <v>7</v>
      </c>
      <c r="B20" s="13">
        <f>SUM(B16:B19)</f>
        <v>30267</v>
      </c>
      <c r="C20" s="13">
        <f t="shared" ref="C20:D20" si="0">SUM(C16:C19)</f>
        <v>1130</v>
      </c>
      <c r="D20" s="13">
        <f t="shared" si="0"/>
        <v>29137</v>
      </c>
    </row>
    <row r="22" spans="1:4">
      <c r="A22" s="13" t="s">
        <v>37</v>
      </c>
      <c r="B22" s="13" t="s">
        <v>7</v>
      </c>
      <c r="C22" s="13" t="s">
        <v>2</v>
      </c>
      <c r="D22" s="13" t="s">
        <v>3</v>
      </c>
    </row>
    <row r="23" spans="1:4">
      <c r="A23" s="13" t="s">
        <v>38</v>
      </c>
      <c r="B23" s="26">
        <v>0.5441239633924736</v>
      </c>
      <c r="C23" s="26">
        <v>0.28141592920353981</v>
      </c>
      <c r="D23" s="26">
        <v>0.55431238631293545</v>
      </c>
    </row>
    <row r="24" spans="1:4">
      <c r="A24" s="13" t="s">
        <v>39</v>
      </c>
      <c r="B24" s="26">
        <v>0.37463243796874485</v>
      </c>
      <c r="C24" s="26">
        <v>0.57787610619469032</v>
      </c>
      <c r="D24" s="26">
        <v>0.3667501801832721</v>
      </c>
    </row>
    <row r="25" spans="1:4">
      <c r="A25" s="13" t="s">
        <v>42</v>
      </c>
      <c r="B25" s="26">
        <v>7.0109360029074572E-2</v>
      </c>
      <c r="C25" s="26">
        <v>0.12831858407079647</v>
      </c>
      <c r="D25" s="26">
        <v>6.7851872189998969E-2</v>
      </c>
    </row>
    <row r="26" spans="1:4">
      <c r="A26" s="13" t="s">
        <v>41</v>
      </c>
      <c r="B26" s="26">
        <v>1.1134238609706944E-2</v>
      </c>
      <c r="C26" s="26">
        <v>1.2389380530973451E-2</v>
      </c>
      <c r="D26" s="26">
        <v>1.1085561313793459E-2</v>
      </c>
    </row>
    <row r="27" spans="1:4">
      <c r="A27" s="13" t="s">
        <v>7</v>
      </c>
      <c r="B27" s="26">
        <v>1</v>
      </c>
      <c r="C27" s="26">
        <v>1</v>
      </c>
      <c r="D27" s="26">
        <v>1</v>
      </c>
    </row>
    <row r="30" spans="1:4">
      <c r="B30" s="25"/>
      <c r="C30" s="25"/>
      <c r="D30" s="25"/>
    </row>
    <row r="31" spans="1:4">
      <c r="B31" s="25"/>
      <c r="C31" s="25"/>
      <c r="D31" s="25"/>
    </row>
    <row r="32" spans="1:4">
      <c r="B32" s="25"/>
      <c r="C32" s="25"/>
      <c r="D32" s="25"/>
    </row>
    <row r="33" spans="2:4">
      <c r="B33" s="25"/>
      <c r="C33" s="25"/>
      <c r="D33" s="25"/>
    </row>
    <row r="34" spans="2:4">
      <c r="B34" s="25"/>
      <c r="C34" s="25"/>
      <c r="D34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e4aae-770c-4775-ae4d-058b6756ddc1">
      <Terms xmlns="http://schemas.microsoft.com/office/infopath/2007/PartnerControls"/>
    </lcf76f155ced4ddcb4097134ff3c332f>
    <TaxCatchAll xmlns="2369bce8-4eee-45b4-8f46-a6c82e48312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959A443F4F44293B0363D3D94ECE0" ma:contentTypeVersion="17" ma:contentTypeDescription="Crée un document." ma:contentTypeScope="" ma:versionID="426c0751f341562fca5a46778b35ccae">
  <xsd:schema xmlns:xsd="http://www.w3.org/2001/XMLSchema" xmlns:xs="http://www.w3.org/2001/XMLSchema" xmlns:p="http://schemas.microsoft.com/office/2006/metadata/properties" xmlns:ns1="http://schemas.microsoft.com/sharepoint/v3" xmlns:ns2="f22e4aae-770c-4775-ae4d-058b6756ddc1" xmlns:ns3="2369bce8-4eee-45b4-8f46-a6c82e483129" targetNamespace="http://schemas.microsoft.com/office/2006/metadata/properties" ma:root="true" ma:fieldsID="0921352c7982ec831ea487e0b7d552b2" ns1:_="" ns2:_="" ns3:_="">
    <xsd:import namespace="http://schemas.microsoft.com/sharepoint/v3"/>
    <xsd:import namespace="f22e4aae-770c-4775-ae4d-058b6756ddc1"/>
    <xsd:import namespace="2369bce8-4eee-45b4-8f46-a6c82e48312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e4aae-770c-4775-ae4d-058b6756ddc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ae002d73-fcbf-44f2-bb02-7941846832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9bce8-4eee-45b4-8f46-a6c82e48312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870cd96-9322-4be2-b945-e8d8956eaa97}" ma:internalName="TaxCatchAll" ma:showField="CatchAllData" ma:web="2369bce8-4eee-45b4-8f46-a6c82e4831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9F7D8E-A0C1-4E0A-9B46-04DB25488839}"/>
</file>

<file path=customXml/itemProps2.xml><?xml version="1.0" encoding="utf-8"?>
<ds:datastoreItem xmlns:ds="http://schemas.openxmlformats.org/officeDocument/2006/customXml" ds:itemID="{3DA8D9D6-9A5C-4941-98B0-8589824C07A5}"/>
</file>

<file path=customXml/itemProps3.xml><?xml version="1.0" encoding="utf-8"?>
<ds:datastoreItem xmlns:ds="http://schemas.openxmlformats.org/officeDocument/2006/customXml" ds:itemID="{90D1DD91-9F8F-4256-8369-7495F4156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Elsie Mehoba</dc:creator>
  <cp:keywords/>
  <dc:description/>
  <cp:lastModifiedBy/>
  <cp:revision/>
  <dcterms:created xsi:type="dcterms:W3CDTF">2025-01-02T02:34:28Z</dcterms:created>
  <dcterms:modified xsi:type="dcterms:W3CDTF">2025-03-24T01:01:47Z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0x010100073959A443F4F44293B0363D3D94ECE0</vt:lpwstr>
  </property>
  <property fmtid="{D5CDD505-2E9C-101B-9397-08002B2CF9AE}" pid="3" name="MediaServiceImageTags">
    <vt:lpwstr/>
  </property>
</Properties>
</file>